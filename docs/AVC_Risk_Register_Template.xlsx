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Sample Risks" sheetId="2" state="visible" r:id="rId4"/>
    <sheet name="Instructions" sheetId="3" state="visible" r:id="rId5"/>
    <sheet name="Scoring Reference" sheetId="4" state="visible" r:id="rId6"/>
    <sheet name="Escalation Log" sheetId="5" state="visible" r:id="rId7"/>
    <sheet name="Client 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<sst xmlns="http://schemas.openxmlformats.org/spreadsheetml/2006/main" count="282" uniqueCount="200">
  <si>
    <t xml:space="preserve">AVC Risk Register</t>
  </si>
  <si>
    <t xml:space="preserve">ID</t>
  </si>
  <si>
    <t xml:space="preserve">Phase</t>
  </si>
  <si>
    <t xml:space="preserve">Risk Name</t>
  </si>
  <si>
    <t xml:space="preserve">Risk Statement (Cause → Risk → Impact)</t>
  </si>
  <si>
    <t xml:space="preserve">Category</t>
  </si>
  <si>
    <t xml:space="preserve">Likelihood</t>
  </si>
  <si>
    <t xml:space="preserve">Impact</t>
  </si>
  <si>
    <t xml:space="preserve">Score</t>
  </si>
  <si>
    <t xml:space="preserve">Priority</t>
  </si>
  <si>
    <t xml:space="preserve">Primary Mitigations</t>
  </si>
  <si>
    <t xml:space="preserve">Contingency / Response Plan</t>
  </si>
  <si>
    <t xml:space="preserve">Owner</t>
  </si>
  <si>
    <t xml:space="preserve">Triggers / Early Warnings</t>
  </si>
  <si>
    <t xml:space="preserve">Status</t>
  </si>
  <si>
    <t xml:space="preserve">Client-Facing</t>
  </si>
  <si>
    <t xml:space="preserve">AI-IRB Flag</t>
  </si>
  <si>
    <t xml:space="preserve">Date Identified</t>
  </si>
  <si>
    <t xml:space="preserve">Last Reviewed</t>
  </si>
  <si>
    <t xml:space="preserve">Notes / History</t>
  </si>
  <si>
    <t xml:space="preserve">↓ Enter new risks below. See 'Sample Risks' tab for examples and 'Instructions' tab for process guidance.</t>
  </si>
  <si>
    <t xml:space="preserve">Sample Risks - Copy relevant risks to the Risk Register tab and customize</t>
  </si>
  <si>
    <t xml:space="preserve">R-ONB-01</t>
  </si>
  <si>
    <t xml:space="preserve">Onboarding</t>
  </si>
  <si>
    <t xml:space="preserve">Incomplete sales handoff</t>
  </si>
  <si>
    <t xml:space="preserve">If sales-to-delivery handoff is incomplete, then delivery team lacks critical context → mis-scoped onboarding → rework + timeline slip.</t>
  </si>
  <si>
    <t xml:space="preserve">Process</t>
  </si>
  <si>
    <t xml:space="preserve">Standard handoff checklist; mandatory handoff meeting; attach SOW, assumptions, exclusions, key stakeholders.</t>
  </si>
  <si>
    <t xml:space="preserve">Escalate to account owner; re-baseline timeline; conduct rapid discovery workshop.</t>
  </si>
  <si>
    <t xml:space="preserve">Onboarding Lead</t>
  </si>
  <si>
    <t xml:space="preserve">Missing SOW artifacts; unclear success metrics; &gt;10 open items after kickoff.</t>
  </si>
  <si>
    <t xml:space="preserve">Open</t>
  </si>
  <si>
    <t xml:space="preserve">Yes</t>
  </si>
  <si>
    <t xml:space="preserve">No</t>
  </si>
  <si>
    <t xml:space="preserve">R-ONB-02</t>
  </si>
  <si>
    <t xml:space="preserve">Vague acceptance criteria</t>
  </si>
  <si>
    <t xml:space="preserve">If SOW/SLA acceptance criteria are vague, then expectations diverge → scope disputes → delayed sign-off.</t>
  </si>
  <si>
    <t xml:space="preserve">Commercial</t>
  </si>
  <si>
    <t xml:space="preserve">Acceptance criteria template; convert promises into measurable outputs; contract translation review.</t>
  </si>
  <si>
    <t xml:space="preserve">Formal change request; negotiate revised criteria; executive sponsor alignment call.</t>
  </si>
  <si>
    <t xml:space="preserve">Delivery Manager</t>
  </si>
  <si>
    <t xml:space="preserve">Frequent 'that's not what we meant' comments; no single source of truth.</t>
  </si>
  <si>
    <t xml:space="preserve">R-ONB-03</t>
  </si>
  <si>
    <t xml:space="preserve">Client access delays</t>
  </si>
  <si>
    <t xml:space="preserve">If client delays access/credentials/data, then setup stalls → onboarding slips → missed go-live.</t>
  </si>
  <si>
    <t xml:space="preserve">Client</t>
  </si>
  <si>
    <t xml:space="preserve">Day-0 access packet; named client IT owner; automated reminders; access gates tied to timeline.</t>
  </si>
  <si>
    <t xml:space="preserve">Parallelize work; propose sandbox data; escalate to client sponsor.</t>
  </si>
  <si>
    <t xml:space="preserve">Access tickets idle &gt;3 days; repeated 'waiting on IT'; missing data fields.</t>
  </si>
  <si>
    <t xml:space="preserve">R-ONB-04</t>
  </si>
  <si>
    <t xml:space="preserve">Late security review</t>
  </si>
  <si>
    <t xml:space="preserve">If security/privacy review starts late, then approval delays → blocked data transfer → onboarding stalls.</t>
  </si>
  <si>
    <t xml:space="preserve">Compliance</t>
  </si>
  <si>
    <t xml:space="preserve">Trigger security package at contract stage; pre-approved security docs; dedicated security contact.</t>
  </si>
  <si>
    <t xml:space="preserve">Phased rollout with non-sensitive data; re-sequence tasks; exec escalation.</t>
  </si>
  <si>
    <t xml:space="preserve">Security/Compliance</t>
  </si>
  <si>
    <t xml:space="preserve">Security questionnaire arrives after kickoff; unanswered questions &gt;5 days.</t>
  </si>
  <si>
    <t xml:space="preserve">R-ONB-05</t>
  </si>
  <si>
    <t xml:space="preserve">Rushed discovery</t>
  </si>
  <si>
    <t xml:space="preserve">If discovery is rushed or stakeholders unavailable, then requirements are incomplete → wrong configuration → rework.</t>
  </si>
  <si>
    <t xml:space="preserve">Structured discovery agenda; required stakeholder list; RACI; written requirement confirmation.</t>
  </si>
  <si>
    <t xml:space="preserve">Discovery 2.0 workshop; update scope and timeline; document as change log.</t>
  </si>
  <si>
    <t xml:space="preserve">Implementation PM</t>
  </si>
  <si>
    <t xml:space="preserve">Key stakeholder misses kickoff; late 'we forgot to mention'; priority reversals.</t>
  </si>
  <si>
    <t xml:space="preserve">R-FUL-01</t>
  </si>
  <si>
    <t xml:space="preserve">Fulfillment</t>
  </si>
  <si>
    <t xml:space="preserve">Capacity overload</t>
  </si>
  <si>
    <t xml:space="preserve">If effort is underestimated and capacity planning is weak, then team overload → delivery delays + burnout.</t>
  </si>
  <si>
    <t xml:space="preserve">Resourcing</t>
  </si>
  <si>
    <t xml:space="preserve">Capacity model; intake limits; staffing buffer for 60-90 days; track utilization.</t>
  </si>
  <si>
    <t xml:space="preserve">Reprioritize backlog; add contractors; renegotiate deliverable dates.</t>
  </si>
  <si>
    <t xml:space="preserve">Utilization &gt;85% sustained; deadlines slip; rising defect rate.</t>
  </si>
  <si>
    <t xml:space="preserve">R-FUL-02</t>
  </si>
  <si>
    <t xml:space="preserve">Brittle integrations</t>
  </si>
  <si>
    <t xml:space="preserve">If integrations/automations are brittle, then failures go unnoticed → silent data breaks → incorrect outputs.</t>
  </si>
  <si>
    <t xml:space="preserve">Technology</t>
  </si>
  <si>
    <t xml:space="preserve">Monitoring + alerts; retries/idempotency; validation checks; staged rollouts; integration tests.</t>
  </si>
  <si>
    <t xml:space="preserve">Switch to manual process; roll back release; communicate incident to client.</t>
  </si>
  <si>
    <t xml:space="preserve">Tech Lead</t>
  </si>
  <si>
    <t xml:space="preserve">Data freshness gaps; job failures; exception spikes; unexplained KPI swings.</t>
  </si>
  <si>
    <t xml:space="preserve">R-FUL-03</t>
  </si>
  <si>
    <t xml:space="preserve">Weak QA gates</t>
  </si>
  <si>
    <t xml:space="preserve">If QA gates are weak, then defects reach client → trust erosion + rework.</t>
  </si>
  <si>
    <t xml:space="preserve">Quality</t>
  </si>
  <si>
    <t xml:space="preserve">Definition of Done; peer review; sampling audits; automated tests; validation checklist.</t>
  </si>
  <si>
    <t xml:space="preserve">Hotfix workflow; client incident comms; root cause analysis.</t>
  </si>
  <si>
    <t xml:space="preserve">QA/Delivery Lead</t>
  </si>
  <si>
    <t xml:space="preserve">Increasing support tickets; repeated corrections; missed acceptance checks.</t>
  </si>
  <si>
    <t xml:space="preserve">R-FUL-04</t>
  </si>
  <si>
    <t xml:space="preserve">Uncontrolled scope creep</t>
  </si>
  <si>
    <t xml:space="preserve">If change requests aren't controlled, then scope creeps → timeline/budget overrun.</t>
  </si>
  <si>
    <t xml:space="preserve">Change control policy; impact assessments; 'out of scope' log; client approval before work.</t>
  </si>
  <si>
    <t xml:space="preserve">Pause non-critical work; renegotiate SOW; add paid change order.</t>
  </si>
  <si>
    <t xml:space="preserve">Account Manager</t>
  </si>
  <si>
    <t xml:space="preserve">Frequent 'small tweaks'; backlog grows faster than throughput.</t>
  </si>
  <si>
    <t xml:space="preserve">R-XCT-01</t>
  </si>
  <si>
    <t xml:space="preserve">Both</t>
  </si>
  <si>
    <t xml:space="preserve">Unclear roles/RACI</t>
  </si>
  <si>
    <t xml:space="preserve">If roles/responsibilities are unclear, then work falls through cracks → missed tasks → SLA/quality issues.</t>
  </si>
  <si>
    <t xml:space="preserve">People</t>
  </si>
  <si>
    <t xml:space="preserve">Publish RACI; single-threaded owner per workstream; weekly governance; decision log.</t>
  </si>
  <si>
    <t xml:space="preserve">Escalate to sponsor; reassign ownership; add interim PM support.</t>
  </si>
  <si>
    <t xml:space="preserve">Delivery Ops</t>
  </si>
  <si>
    <t xml:space="preserve">Duplicate work; no owner in meetings; unresolved actions &gt;1 week.</t>
  </si>
  <si>
    <t xml:space="preserve">R-XCT-02</t>
  </si>
  <si>
    <t xml:space="preserve">Compliance mishandling</t>
  </si>
  <si>
    <t xml:space="preserve">If compliance obligations (PII, SOC2, GDPR) are mishandled, then violations occur → legal + reputational damage.</t>
  </si>
  <si>
    <t xml:space="preserve">Least privilege; encryption; access reviews; audit trails; incident response plan.</t>
  </si>
  <si>
    <t xml:space="preserve">Incident response activation; legal counsel; client notification; remediation plan.</t>
  </si>
  <si>
    <t xml:space="preserve">Unapproved data sharing; unclear retention; audit findings.</t>
  </si>
  <si>
    <t xml:space="preserve">R-AI-01</t>
  </si>
  <si>
    <t xml:space="preserve">Unmonitored model drift</t>
  </si>
  <si>
    <t xml:space="preserve">If model drift is not monitored, then performance degrades silently → incorrect predictions → lost trust.</t>
  </si>
  <si>
    <t xml:space="preserve">AI System</t>
  </si>
  <si>
    <t xml:space="preserve">Drift detection dashboards; scheduled revalidation; alert thresholds; model versioning.</t>
  </si>
  <si>
    <t xml:space="preserve">Retrain with updated data; roll back to previous version; communicate impact.</t>
  </si>
  <si>
    <t xml:space="preserve">Data Science Lead</t>
  </si>
  <si>
    <t xml:space="preserve">Accuracy declining; feature distribution shifts; user feedback issues.</t>
  </si>
  <si>
    <t xml:space="preserve">R-AI-02</t>
  </si>
  <si>
    <t xml:space="preserve">Training data bias</t>
  </si>
  <si>
    <t xml:space="preserve">If training data contains bias, then model outputs perpetuate inequities → ethical violations → reputational damage.</t>
  </si>
  <si>
    <t xml:space="preserve">Bias audits pre-deployment; fairness metrics; diverse training data; explainability tools.</t>
  </si>
  <si>
    <t xml:space="preserve">Pause model; conduct bias remediation; stakeholder communication; AI-IRB escalation.</t>
  </si>
  <si>
    <t xml:space="preserve">AI-IRB Liaison</t>
  </si>
  <si>
    <t xml:space="preserve">Fairness metrics degrading; complaints from user groups; audit findings.</t>
  </si>
  <si>
    <t xml:space="preserve">AVC Risk Register - Quick Reference</t>
  </si>
  <si>
    <t xml:space="preserve">WHEN TO USE</t>
  </si>
  <si>
    <t xml:space="preserve">• Create register at engagement kickoff</t>
  </si>
  <si>
    <t xml:space="preserve">• Review weekly with delivery team</t>
  </si>
  <si>
    <t xml:space="preserve">• Share High/Medium risks in client governance calls</t>
  </si>
  <si>
    <t xml:space="preserve">ADDING A RISK</t>
  </si>
  <si>
    <t xml:space="preserve">1. Assign ID (R-01, R-02, etc.)</t>
  </si>
  <si>
    <t xml:space="preserve">2. Write short Risk Name (2-4 words)</t>
  </si>
  <si>
    <t xml:space="preserve">3. Write Risk Statement: 'If [cause], then [risk] → [impact]'</t>
  </si>
  <si>
    <t xml:space="preserve">4. Score Likelihood (1-5) and Impact (1-5)</t>
  </si>
  <si>
    <t xml:space="preserve">5. Define mitigations and assign owner</t>
  </si>
  <si>
    <t xml:space="preserve">SCORING</t>
  </si>
  <si>
    <t xml:space="preserve">Likelihood: 1=Rare, 2=Unlikely, 3=Possible, 4=Likely, 5=Almost Certain</t>
  </si>
  <si>
    <t xml:space="preserve">Impact: 1=Minor, 2=Moderate, 3=Major, 4=Severe, 5=Critical</t>
  </si>
  <si>
    <t xml:space="preserve">Score = Likelihood × Impact</t>
  </si>
  <si>
    <t xml:space="preserve">Priority: High (15-25), Medium (8-14), Low (1-7)</t>
  </si>
  <si>
    <t xml:space="preserve">ESCALATION</t>
  </si>
  <si>
    <t xml:space="preserve">• Score ≥20 or Priority=High → Notify Account Manager + AI-IRB Liaison</t>
  </si>
  <si>
    <t xml:space="preserve">• AI-IRB Flag=Yes → AI-IRB review required before gate passage</t>
  </si>
  <si>
    <t xml:space="preserve">• Blocked mitigation &gt;5 days → Escalate to remove blocker</t>
  </si>
  <si>
    <t xml:space="preserve">CLOSING A RISK</t>
  </si>
  <si>
    <t xml:space="preserve">Status options: Open → Mitigating → Accepted or Closed</t>
  </si>
  <si>
    <t xml:space="preserve">Document closure rationale in Notes column</t>
  </si>
  <si>
    <t xml:space="preserve">High priority risks require Account Manager + AI-IRB sign-off to close</t>
  </si>
  <si>
    <t xml:space="preserve">REFERENCE</t>
  </si>
  <si>
    <t xml:space="preserve">See 'Sample Risks' tab for examples to copy and customize</t>
  </si>
  <si>
    <t xml:space="preserve">See 'Scoring Reference' tab for detailed scoring definitions</t>
  </si>
  <si>
    <t xml:space="preserve">Full process: SOP-1062-01-AI Risk Register Management</t>
  </si>
  <si>
    <t xml:space="preserve">Likelihood Scale</t>
  </si>
  <si>
    <t xml:space="preserve">Label</t>
  </si>
  <si>
    <t xml:space="preserve">Definition</t>
  </si>
  <si>
    <t xml:space="preserve">Rare</t>
  </si>
  <si>
    <t xml:space="preserve">Unlikely to occur; no historical precedent</t>
  </si>
  <si>
    <t xml:space="preserve">Unlikely</t>
  </si>
  <si>
    <t xml:space="preserve">Could occur but not expected; few precedents</t>
  </si>
  <si>
    <t xml:space="preserve">Possible</t>
  </si>
  <si>
    <t xml:space="preserve">May occur; some precedents or warning signs</t>
  </si>
  <si>
    <t xml:space="preserve">Likely</t>
  </si>
  <si>
    <t xml:space="preserve">Probably will occur; multiple precedents or active warning signs</t>
  </si>
  <si>
    <t xml:space="preserve">Almost Certain</t>
  </si>
  <si>
    <t xml:space="preserve">Expected to occur; currently occurring or imminent</t>
  </si>
  <si>
    <t xml:space="preserve">Impact Scale</t>
  </si>
  <si>
    <t xml:space="preserve">Minor</t>
  </si>
  <si>
    <t xml:space="preserve">Negligible effect on timeline, cost, or quality; easily absorbed</t>
  </si>
  <si>
    <t xml:space="preserve">Moderate</t>
  </si>
  <si>
    <t xml:space="preserve">Some effect; requires adjustment but recoverable within sprint/phase</t>
  </si>
  <si>
    <t xml:space="preserve">Major</t>
  </si>
  <si>
    <t xml:space="preserve">Significant effect; requires re-planning, client communication, or scope adjustment</t>
  </si>
  <si>
    <t xml:space="preserve">Severe</t>
  </si>
  <si>
    <t xml:space="preserve">Serious effect; threatens milestone delivery, SLA breach, or client relationship</t>
  </si>
  <si>
    <t xml:space="preserve">Critical</t>
  </si>
  <si>
    <t xml:space="preserve">Project-threatening; potential termination, compliance violation, or reputational damage</t>
  </si>
  <si>
    <t xml:space="preserve">Priority Thresholds</t>
  </si>
  <si>
    <t xml:space="preserve">Score Range</t>
  </si>
  <si>
    <t xml:space="preserve">Required Response</t>
  </si>
  <si>
    <t xml:space="preserve">15-25</t>
  </si>
  <si>
    <t xml:space="preserve">High</t>
  </si>
  <si>
    <t xml:space="preserve">Immediate action required. Escalate to Account Manager and AI-IRB Liaison. Weekly review minimum.</t>
  </si>
  <si>
    <t xml:space="preserve">8-14</t>
  </si>
  <si>
    <t xml:space="preserve">Medium</t>
  </si>
  <si>
    <t xml:space="preserve">Active monitoring. Mitigations must be in place. Bi-weekly review minimum.</t>
  </si>
  <si>
    <t xml:space="preserve">1-7</t>
  </si>
  <si>
    <t xml:space="preserve">Low</t>
  </si>
  <si>
    <t xml:space="preserve">Monitor during standard reviews. Mitigations optional but recommended.</t>
  </si>
  <si>
    <t xml:space="preserve">Date</t>
  </si>
  <si>
    <t xml:space="preserve">Risk ID</t>
  </si>
  <si>
    <t xml:space="preserve">Escalated By</t>
  </si>
  <si>
    <t xml:space="preserve">Escalated To</t>
  </si>
  <si>
    <t xml:space="preserve">Reason</t>
  </si>
  <si>
    <t xml:space="preserve">Resolution</t>
  </si>
  <si>
    <t xml:space="preserve">Resolution Date</t>
  </si>
  <si>
    <t xml:space="preserve">Notes</t>
  </si>
  <si>
    <t xml:space="preserve">Owner Role</t>
  </si>
  <si>
    <t xml:space="preserve">Key Mitigation</t>
  </si>
  <si>
    <t xml:space="preserve">(Copy High/Medium risks from main register where Client-Facing = Yes)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</si>
</sst>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49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4"/>
      <color rgb="FFC65911"/>
      <name val="Arial"/>
      <family val="0"/>
      <charset val="1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2F549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FFF2CC"/>
        <bgColor rgb="FFFFFFFF"/>
      </patternFill>
    </fill>
    <fill>
      <patternFill patternType="solid">
        <fgColor rgb="FFD9E2F3"/>
        <bgColor rgb="FFCCFFFF"/>
      </patternFill>
    </fill>
    <fill>
      <patternFill patternType="solid">
        <fgColor rgb="FFFF6B6B"/>
        <bgColor rgb="FFC65911"/>
      </patternFill>
    </fill>
    <fill>
      <patternFill patternType="solid">
        <fgColor rgb="FFFFE066"/>
        <bgColor rgb="FFFFFF99"/>
      </patternFill>
    </fill>
    <fill>
      <patternFill patternType="solid">
        <fgColor rgb="FF69DB7C"/>
        <bgColor rgb="FF99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6B6B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66"/>
      <rgbColor rgb="FF3366FF"/>
      <rgbColor rgb="FF69DB7C"/>
      <rgbColor rgb="FF99CC00"/>
      <rgbColor rgb="FFFFCC00"/>
      <rgbColor rgb="FFFF9900"/>
      <rgbColor rgb="FFC65911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55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1" min="10" style="0" width="45"/>
    <col collapsed="false" customWidth="true" hidden="false" outlineLevel="0" max="12" min="12" style="0" width="18"/>
    <col collapsed="false" customWidth="true" hidden="false" outlineLevel="0" max="13" min="13" style="0" width="40"/>
    <col collapsed="false" customWidth="true" hidden="false" outlineLevel="0" max="16" min="14" style="0" width="12"/>
    <col collapsed="false" customWidth="true" hidden="false" outlineLevel="0" max="18" min="17" style="0" width="14"/>
    <col collapsed="false" customWidth="true" hidden="false" outlineLevel="0" max="19" min="19" style="0" width="4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9.75" hidden="false" customHeight="true" outlineLevel="0" collapsed="false"/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</row>
    <row r="4" customFormat="false" ht="19.5" hidden="false" customHeight="true" outlineLevel="0" collapsed="false">
      <c r="A4" s="3" t="s">
        <v>20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Format="false" ht="15" hidden="false" customHeight="false" outlineLevel="0" collapsed="false">
      <c r="H5" s="4" t="n">
        <f aca="false">F5*G5</f>
        <v>0</v>
      </c>
      <c r="I5" s="0" t="str">
        <f aca="false">IF(H5&gt;=15,"High",IF(H5&gt;=8,"Medium",IF(H5&gt;0,"Low","")))</f>
        <v/>
      </c>
    </row>
  </sheetData>
  <mergeCells count="2">
    <mergeCell ref="A1:S1"/>
    <mergeCell ref="A4:S4"/>
  </mergeCells>
  <dataValidations count="6">
    <dataValidation allowBlank="true" error="Please select from the list" errorStyle="stop" errorTitle="Invalid Phase" operator="between" showDropDown="false" showErrorMessage="false" showInputMessage="false" sqref="B5:B200" type="list">
      <formula1>"Onboarding,Fulfillment,Both"</formula1>
      <formula2>0</formula2>
    </dataValidation>
    <dataValidation allowBlank="true" errorStyle="stop" operator="between" showDropDown="false" showErrorMessage="false" showInputMessage="false" sqref="E5:E200" type="list">
      <formula1>"People,Process,Technology,Client,Compliance,Vendor,Financial,Data,AI System,Commercial,Resourcing,Quality"</formula1>
      <formula2>0</formula2>
    </dataValidation>
    <dataValidation allowBlank="true" errorStyle="stop" operator="between" showDropDown="false" showErrorMessage="false" showInputMessage="false" sqref="N5:N200" type="list">
      <formula1>"Open,Mitigating,Accepted,Closed"</formula1>
      <formula2>0</formula2>
    </dataValidation>
    <dataValidation allowBlank="true" errorStyle="stop" operator="between" showDropDown="false" showErrorMessage="false" showInputMessage="false" sqref="O5:P200" type="list">
      <formula1>"Yes,No"</formula1>
      <formula2>0</formula2>
    </dataValidation>
    <dataValidation allowBlank="true" errorStyle="stop" operator="between" showDropDown="false" showErrorMessage="false" showInputMessage="false" sqref="F5:F200" type="list">
      <formula1>"1,2,3,4,5"</formula1>
      <formula2>0</formula2>
    </dataValidation>
    <dataValidation allowBlank="true" errorStyle="stop" operator="between" showDropDown="false" showErrorMessage="false" showInputMessage="false" sqref="G5:G200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55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1" min="10" style="0" width="45"/>
    <col collapsed="false" customWidth="true" hidden="false" outlineLevel="0" max="12" min="12" style="0" width="18"/>
    <col collapsed="false" customWidth="true" hidden="false" outlineLevel="0" max="13" min="13" style="0" width="40"/>
    <col collapsed="false" customWidth="true" hidden="false" outlineLevel="0" max="16" min="14" style="0" width="12"/>
    <col collapsed="false" customWidth="true" hidden="false" outlineLevel="0" max="18" min="17" style="0" width="14"/>
    <col collapsed="false" customWidth="true" hidden="false" outlineLevel="0" max="19" min="19" style="0" width="40"/>
  </cols>
  <sheetData>
    <row r="1" customFormat="false" ht="30" hidden="false" customHeight="true" outlineLevel="0" collapsed="false">
      <c r="A1" s="5" t="s">
        <v>21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customFormat="false" ht="26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r="3" customFormat="false" ht="49.5" hidden="false" customHeight="true" outlineLevel="0" collapsed="false">
      <c r="A3" s="6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6" t="n">
        <v>4</v>
      </c>
      <c r="G3" s="6" t="n">
        <v>4</v>
      </c>
      <c r="H3" s="6" t="n">
        <f aca="false">F3*G3</f>
        <v>16</v>
      </c>
      <c r="I3" s="6" t="str">
        <f aca="false">IF(H3&gt;=15,"High",IF(H3&gt;=8,"Medium","Low"))</f>
        <v>High</v>
      </c>
      <c r="J3" s="6" t="s">
        <v>27</v>
      </c>
      <c r="K3" s="6" t="s">
        <v>28</v>
      </c>
      <c r="L3" s="6" t="s">
        <v>29</v>
      </c>
      <c r="M3" s="6" t="s">
        <v>30</v>
      </c>
      <c r="N3" s="6" t="s">
        <v>31</v>
      </c>
      <c r="O3" s="6" t="s">
        <v>32</v>
      </c>
      <c r="P3" s="6" t="s">
        <v>33</v>
      </c>
      <c r="Q3" s="6"/>
      <c r="R3" s="6"/>
      <c r="S3" s="6"/>
    </row>
    <row r="4" customFormat="false" ht="49.5" hidden="false" customHeight="true" outlineLevel="0" collapsed="false">
      <c r="A4" s="6" t="s">
        <v>34</v>
      </c>
      <c r="B4" s="6" t="s">
        <v>23</v>
      </c>
      <c r="C4" s="6" t="s">
        <v>35</v>
      </c>
      <c r="D4" s="6" t="s">
        <v>36</v>
      </c>
      <c r="E4" s="6" t="s">
        <v>37</v>
      </c>
      <c r="F4" s="6" t="n">
        <v>3</v>
      </c>
      <c r="G4" s="6" t="n">
        <v>5</v>
      </c>
      <c r="H4" s="6" t="n">
        <f aca="false">F4*G4</f>
        <v>15</v>
      </c>
      <c r="I4" s="6" t="str">
        <f aca="false">IF(H4&gt;=15,"High",IF(H4&gt;=8,"Medium","Low"))</f>
        <v>High</v>
      </c>
      <c r="J4" s="6" t="s">
        <v>38</v>
      </c>
      <c r="K4" s="6" t="s">
        <v>39</v>
      </c>
      <c r="L4" s="6" t="s">
        <v>40</v>
      </c>
      <c r="M4" s="6" t="s">
        <v>41</v>
      </c>
      <c r="N4" s="6" t="s">
        <v>31</v>
      </c>
      <c r="O4" s="6" t="s">
        <v>32</v>
      </c>
      <c r="P4" s="6" t="s">
        <v>33</v>
      </c>
      <c r="Q4" s="6"/>
      <c r="R4" s="6"/>
      <c r="S4" s="6"/>
    </row>
    <row r="5" customFormat="false" ht="49.5" hidden="false" customHeight="true" outlineLevel="0" collapsed="false">
      <c r="A5" s="6" t="s">
        <v>42</v>
      </c>
      <c r="B5" s="6" t="s">
        <v>23</v>
      </c>
      <c r="C5" s="6" t="s">
        <v>43</v>
      </c>
      <c r="D5" s="6" t="s">
        <v>44</v>
      </c>
      <c r="E5" s="6" t="s">
        <v>45</v>
      </c>
      <c r="F5" s="6" t="n">
        <v>5</v>
      </c>
      <c r="G5" s="6" t="n">
        <v>4</v>
      </c>
      <c r="H5" s="6" t="n">
        <f aca="false">F5*G5</f>
        <v>20</v>
      </c>
      <c r="I5" s="6" t="str">
        <f aca="false">IF(H5&gt;=15,"High",IF(H5&gt;=8,"Medium","Low"))</f>
        <v>High</v>
      </c>
      <c r="J5" s="6" t="s">
        <v>46</v>
      </c>
      <c r="K5" s="6" t="s">
        <v>47</v>
      </c>
      <c r="L5" s="6" t="s">
        <v>29</v>
      </c>
      <c r="M5" s="6" t="s">
        <v>48</v>
      </c>
      <c r="N5" s="6" t="s">
        <v>31</v>
      </c>
      <c r="O5" s="6" t="s">
        <v>32</v>
      </c>
      <c r="P5" s="6" t="s">
        <v>33</v>
      </c>
      <c r="Q5" s="6"/>
      <c r="R5" s="6"/>
      <c r="S5" s="6"/>
    </row>
    <row r="6" customFormat="false" ht="49.5" hidden="false" customHeight="true" outlineLevel="0" collapsed="false">
      <c r="A6" s="6" t="s">
        <v>49</v>
      </c>
      <c r="B6" s="6" t="s">
        <v>23</v>
      </c>
      <c r="C6" s="6" t="s">
        <v>50</v>
      </c>
      <c r="D6" s="6" t="s">
        <v>51</v>
      </c>
      <c r="E6" s="6" t="s">
        <v>52</v>
      </c>
      <c r="F6" s="6" t="n">
        <v>4</v>
      </c>
      <c r="G6" s="6" t="n">
        <v>5</v>
      </c>
      <c r="H6" s="6" t="n">
        <f aca="false">F6*G6</f>
        <v>20</v>
      </c>
      <c r="I6" s="6" t="str">
        <f aca="false">IF(H6&gt;=15,"High",IF(H6&gt;=8,"Medium","Low"))</f>
        <v>High</v>
      </c>
      <c r="J6" s="6" t="s">
        <v>53</v>
      </c>
      <c r="K6" s="6" t="s">
        <v>54</v>
      </c>
      <c r="L6" s="6" t="s">
        <v>55</v>
      </c>
      <c r="M6" s="6" t="s">
        <v>56</v>
      </c>
      <c r="N6" s="6" t="s">
        <v>31</v>
      </c>
      <c r="O6" s="6" t="s">
        <v>32</v>
      </c>
      <c r="P6" s="6" t="s">
        <v>32</v>
      </c>
      <c r="Q6" s="6"/>
      <c r="R6" s="6"/>
      <c r="S6" s="6"/>
    </row>
    <row r="7" customFormat="false" ht="49.5" hidden="false" customHeight="true" outlineLevel="0" collapsed="false">
      <c r="A7" s="6" t="s">
        <v>57</v>
      </c>
      <c r="B7" s="6" t="s">
        <v>23</v>
      </c>
      <c r="C7" s="6" t="s">
        <v>58</v>
      </c>
      <c r="D7" s="6" t="s">
        <v>59</v>
      </c>
      <c r="E7" s="6" t="s">
        <v>26</v>
      </c>
      <c r="F7" s="6" t="n">
        <v>4</v>
      </c>
      <c r="G7" s="6" t="n">
        <v>4</v>
      </c>
      <c r="H7" s="6" t="n">
        <f aca="false">F7*G7</f>
        <v>16</v>
      </c>
      <c r="I7" s="6" t="str">
        <f aca="false">IF(H7&gt;=15,"High",IF(H7&gt;=8,"Medium","Low"))</f>
        <v>High</v>
      </c>
      <c r="J7" s="6" t="s">
        <v>60</v>
      </c>
      <c r="K7" s="6" t="s">
        <v>61</v>
      </c>
      <c r="L7" s="6" t="s">
        <v>62</v>
      </c>
      <c r="M7" s="6" t="s">
        <v>63</v>
      </c>
      <c r="N7" s="6" t="s">
        <v>31</v>
      </c>
      <c r="O7" s="6" t="s">
        <v>32</v>
      </c>
      <c r="P7" s="6" t="s">
        <v>33</v>
      </c>
      <c r="Q7" s="6"/>
      <c r="R7" s="6"/>
      <c r="S7" s="6"/>
    </row>
    <row r="8" customFormat="false" ht="49.5" hidden="false" customHeight="true" outlineLevel="0" collapsed="false">
      <c r="A8" s="6" t="s">
        <v>64</v>
      </c>
      <c r="B8" s="6" t="s">
        <v>65</v>
      </c>
      <c r="C8" s="6" t="s">
        <v>66</v>
      </c>
      <c r="D8" s="6" t="s">
        <v>67</v>
      </c>
      <c r="E8" s="6" t="s">
        <v>68</v>
      </c>
      <c r="F8" s="6" t="n">
        <v>4</v>
      </c>
      <c r="G8" s="6" t="n">
        <v>4</v>
      </c>
      <c r="H8" s="6" t="n">
        <f aca="false">F8*G8</f>
        <v>16</v>
      </c>
      <c r="I8" s="6" t="str">
        <f aca="false">IF(H8&gt;=15,"High",IF(H8&gt;=8,"Medium","Low"))</f>
        <v>High</v>
      </c>
      <c r="J8" s="6" t="s">
        <v>69</v>
      </c>
      <c r="K8" s="6" t="s">
        <v>70</v>
      </c>
      <c r="L8" s="6" t="s">
        <v>40</v>
      </c>
      <c r="M8" s="6" t="s">
        <v>71</v>
      </c>
      <c r="N8" s="6" t="s">
        <v>31</v>
      </c>
      <c r="O8" s="6" t="s">
        <v>33</v>
      </c>
      <c r="P8" s="6" t="s">
        <v>33</v>
      </c>
      <c r="Q8" s="6"/>
      <c r="R8" s="6"/>
      <c r="S8" s="6"/>
    </row>
    <row r="9" customFormat="false" ht="49.5" hidden="false" customHeight="true" outlineLevel="0" collapsed="false">
      <c r="A9" s="6" t="s">
        <v>72</v>
      </c>
      <c r="B9" s="6" t="s">
        <v>65</v>
      </c>
      <c r="C9" s="6" t="s">
        <v>73</v>
      </c>
      <c r="D9" s="6" t="s">
        <v>74</v>
      </c>
      <c r="E9" s="6" t="s">
        <v>75</v>
      </c>
      <c r="F9" s="6" t="n">
        <v>4</v>
      </c>
      <c r="G9" s="6" t="n">
        <v>5</v>
      </c>
      <c r="H9" s="6" t="n">
        <f aca="false">F9*G9</f>
        <v>20</v>
      </c>
      <c r="I9" s="6" t="str">
        <f aca="false">IF(H9&gt;=15,"High",IF(H9&gt;=8,"Medium","Low"))</f>
        <v>High</v>
      </c>
      <c r="J9" s="6" t="s">
        <v>76</v>
      </c>
      <c r="K9" s="6" t="s">
        <v>77</v>
      </c>
      <c r="L9" s="6" t="s">
        <v>78</v>
      </c>
      <c r="M9" s="6" t="s">
        <v>79</v>
      </c>
      <c r="N9" s="6" t="s">
        <v>31</v>
      </c>
      <c r="O9" s="6" t="s">
        <v>32</v>
      </c>
      <c r="P9" s="6" t="s">
        <v>33</v>
      </c>
      <c r="Q9" s="6"/>
      <c r="R9" s="6"/>
      <c r="S9" s="6"/>
    </row>
    <row r="10" customFormat="false" ht="49.5" hidden="false" customHeight="true" outlineLevel="0" collapsed="false">
      <c r="A10" s="6" t="s">
        <v>80</v>
      </c>
      <c r="B10" s="6" t="s">
        <v>65</v>
      </c>
      <c r="C10" s="6" t="s">
        <v>81</v>
      </c>
      <c r="D10" s="6" t="s">
        <v>82</v>
      </c>
      <c r="E10" s="6" t="s">
        <v>83</v>
      </c>
      <c r="F10" s="6" t="n">
        <v>4</v>
      </c>
      <c r="G10" s="6" t="n">
        <v>4</v>
      </c>
      <c r="H10" s="6" t="n">
        <f aca="false">F10*G10</f>
        <v>16</v>
      </c>
      <c r="I10" s="6" t="str">
        <f aca="false">IF(H10&gt;=15,"High",IF(H10&gt;=8,"Medium","Low"))</f>
        <v>High</v>
      </c>
      <c r="J10" s="6" t="s">
        <v>84</v>
      </c>
      <c r="K10" s="6" t="s">
        <v>85</v>
      </c>
      <c r="L10" s="6" t="s">
        <v>86</v>
      </c>
      <c r="M10" s="6" t="s">
        <v>87</v>
      </c>
      <c r="N10" s="6" t="s">
        <v>31</v>
      </c>
      <c r="O10" s="6" t="s">
        <v>32</v>
      </c>
      <c r="P10" s="6" t="s">
        <v>33</v>
      </c>
      <c r="Q10" s="6"/>
      <c r="R10" s="6"/>
      <c r="S10" s="6"/>
    </row>
    <row r="11" customFormat="false" ht="49.5" hidden="false" customHeight="true" outlineLevel="0" collapsed="false">
      <c r="A11" s="6" t="s">
        <v>88</v>
      </c>
      <c r="B11" s="6" t="s">
        <v>65</v>
      </c>
      <c r="C11" s="6" t="s">
        <v>89</v>
      </c>
      <c r="D11" s="6" t="s">
        <v>90</v>
      </c>
      <c r="E11" s="6" t="s">
        <v>37</v>
      </c>
      <c r="F11" s="6" t="n">
        <v>4</v>
      </c>
      <c r="G11" s="6" t="n">
        <v>4</v>
      </c>
      <c r="H11" s="6" t="n">
        <f aca="false">F11*G11</f>
        <v>16</v>
      </c>
      <c r="I11" s="6" t="str">
        <f aca="false">IF(H11&gt;=15,"High",IF(H11&gt;=8,"Medium","Low"))</f>
        <v>High</v>
      </c>
      <c r="J11" s="6" t="s">
        <v>91</v>
      </c>
      <c r="K11" s="6" t="s">
        <v>92</v>
      </c>
      <c r="L11" s="6" t="s">
        <v>93</v>
      </c>
      <c r="M11" s="6" t="s">
        <v>94</v>
      </c>
      <c r="N11" s="6" t="s">
        <v>31</v>
      </c>
      <c r="O11" s="6" t="s">
        <v>32</v>
      </c>
      <c r="P11" s="6" t="s">
        <v>33</v>
      </c>
      <c r="Q11" s="6"/>
      <c r="R11" s="6"/>
      <c r="S11" s="6"/>
    </row>
    <row r="12" customFormat="false" ht="49.5" hidden="false" customHeight="true" outlineLevel="0" collapsed="false">
      <c r="A12" s="6" t="s">
        <v>95</v>
      </c>
      <c r="B12" s="6" t="s">
        <v>96</v>
      </c>
      <c r="C12" s="6" t="s">
        <v>97</v>
      </c>
      <c r="D12" s="6" t="s">
        <v>98</v>
      </c>
      <c r="E12" s="6" t="s">
        <v>99</v>
      </c>
      <c r="F12" s="6" t="n">
        <v>4</v>
      </c>
      <c r="G12" s="6" t="n">
        <v>4</v>
      </c>
      <c r="H12" s="6" t="n">
        <f aca="false">F12*G12</f>
        <v>16</v>
      </c>
      <c r="I12" s="6" t="str">
        <f aca="false">IF(H12&gt;=15,"High",IF(H12&gt;=8,"Medium","Low"))</f>
        <v>High</v>
      </c>
      <c r="J12" s="6" t="s">
        <v>100</v>
      </c>
      <c r="K12" s="6" t="s">
        <v>101</v>
      </c>
      <c r="L12" s="6" t="s">
        <v>102</v>
      </c>
      <c r="M12" s="6" t="s">
        <v>103</v>
      </c>
      <c r="N12" s="6" t="s">
        <v>31</v>
      </c>
      <c r="O12" s="6" t="s">
        <v>33</v>
      </c>
      <c r="P12" s="6" t="s">
        <v>33</v>
      </c>
      <c r="Q12" s="6"/>
      <c r="R12" s="6"/>
      <c r="S12" s="6"/>
    </row>
    <row r="13" customFormat="false" ht="49.5" hidden="false" customHeight="true" outlineLevel="0" collapsed="false">
      <c r="A13" s="6" t="s">
        <v>104</v>
      </c>
      <c r="B13" s="6" t="s">
        <v>96</v>
      </c>
      <c r="C13" s="6" t="s">
        <v>105</v>
      </c>
      <c r="D13" s="6" t="s">
        <v>106</v>
      </c>
      <c r="E13" s="6" t="s">
        <v>52</v>
      </c>
      <c r="F13" s="6" t="n">
        <v>3</v>
      </c>
      <c r="G13" s="6" t="n">
        <v>5</v>
      </c>
      <c r="H13" s="6" t="n">
        <f aca="false">F13*G13</f>
        <v>15</v>
      </c>
      <c r="I13" s="6" t="str">
        <f aca="false">IF(H13&gt;=15,"High",IF(H13&gt;=8,"Medium","Low"))</f>
        <v>High</v>
      </c>
      <c r="J13" s="6" t="s">
        <v>107</v>
      </c>
      <c r="K13" s="6" t="s">
        <v>108</v>
      </c>
      <c r="L13" s="6" t="s">
        <v>55</v>
      </c>
      <c r="M13" s="6" t="s">
        <v>109</v>
      </c>
      <c r="N13" s="6" t="s">
        <v>31</v>
      </c>
      <c r="O13" s="6" t="s">
        <v>32</v>
      </c>
      <c r="P13" s="6" t="s">
        <v>32</v>
      </c>
      <c r="Q13" s="6"/>
      <c r="R13" s="6"/>
      <c r="S13" s="6"/>
    </row>
    <row r="14" customFormat="false" ht="49.5" hidden="false" customHeight="true" outlineLevel="0" collapsed="false">
      <c r="A14" s="6" t="s">
        <v>110</v>
      </c>
      <c r="B14" s="6" t="s">
        <v>65</v>
      </c>
      <c r="C14" s="6" t="s">
        <v>111</v>
      </c>
      <c r="D14" s="6" t="s">
        <v>112</v>
      </c>
      <c r="E14" s="6" t="s">
        <v>113</v>
      </c>
      <c r="F14" s="6" t="n">
        <v>4</v>
      </c>
      <c r="G14" s="6" t="n">
        <v>4</v>
      </c>
      <c r="H14" s="6" t="n">
        <f aca="false">F14*G14</f>
        <v>16</v>
      </c>
      <c r="I14" s="6" t="str">
        <f aca="false">IF(H14&gt;=15,"High",IF(H14&gt;=8,"Medium","Low"))</f>
        <v>High</v>
      </c>
      <c r="J14" s="6" t="s">
        <v>114</v>
      </c>
      <c r="K14" s="6" t="s">
        <v>115</v>
      </c>
      <c r="L14" s="6" t="s">
        <v>116</v>
      </c>
      <c r="M14" s="6" t="s">
        <v>117</v>
      </c>
      <c r="N14" s="6" t="s">
        <v>31</v>
      </c>
      <c r="O14" s="6" t="s">
        <v>32</v>
      </c>
      <c r="P14" s="6" t="s">
        <v>32</v>
      </c>
      <c r="Q14" s="6"/>
      <c r="R14" s="6"/>
      <c r="S14" s="6"/>
    </row>
    <row r="15" customFormat="false" ht="49.5" hidden="false" customHeight="true" outlineLevel="0" collapsed="false">
      <c r="A15" s="6" t="s">
        <v>118</v>
      </c>
      <c r="B15" s="6" t="s">
        <v>65</v>
      </c>
      <c r="C15" s="6" t="s">
        <v>119</v>
      </c>
      <c r="D15" s="6" t="s">
        <v>120</v>
      </c>
      <c r="E15" s="6" t="s">
        <v>113</v>
      </c>
      <c r="F15" s="6" t="n">
        <v>3</v>
      </c>
      <c r="G15" s="6" t="n">
        <v>5</v>
      </c>
      <c r="H15" s="6" t="n">
        <f aca="false">F15*G15</f>
        <v>15</v>
      </c>
      <c r="I15" s="6" t="str">
        <f aca="false">IF(H15&gt;=15,"High",IF(H15&gt;=8,"Medium","Low"))</f>
        <v>High</v>
      </c>
      <c r="J15" s="6" t="s">
        <v>121</v>
      </c>
      <c r="K15" s="6" t="s">
        <v>122</v>
      </c>
      <c r="L15" s="6" t="s">
        <v>123</v>
      </c>
      <c r="M15" s="6" t="s">
        <v>124</v>
      </c>
      <c r="N15" s="6" t="s">
        <v>31</v>
      </c>
      <c r="O15" s="6" t="s">
        <v>32</v>
      </c>
      <c r="P15" s="6" t="s">
        <v>32</v>
      </c>
      <c r="Q15" s="6"/>
      <c r="R15" s="6"/>
      <c r="S15" s="6"/>
    </row>
  </sheetData>
  <mergeCells count="1">
    <mergeCell ref="A1:S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9.7" hidden="false" customHeight="false" outlineLevel="0" collapsed="false">
      <c r="A1" s="7" t="s">
        <v>125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9" t="s">
        <v>126</v>
      </c>
    </row>
    <row r="4" customFormat="false" ht="15" hidden="false" customHeight="false" outlineLevel="0" collapsed="false">
      <c r="A4" s="10" t="s">
        <v>127</v>
      </c>
    </row>
    <row r="5" customFormat="false" ht="15" hidden="false" customHeight="false" outlineLevel="0" collapsed="false">
      <c r="A5" s="10" t="s">
        <v>128</v>
      </c>
    </row>
    <row r="6" customFormat="false" ht="15" hidden="false" customHeight="false" outlineLevel="0" collapsed="false">
      <c r="A6" s="10" t="s">
        <v>129</v>
      </c>
    </row>
    <row r="7" customFormat="false" ht="15" hidden="false" customHeight="false" outlineLevel="0" collapsed="false">
      <c r="A7" s="8"/>
    </row>
    <row r="8" customFormat="false" ht="15" hidden="false" customHeight="false" outlineLevel="0" collapsed="false">
      <c r="A8" s="9" t="s">
        <v>130</v>
      </c>
    </row>
    <row r="9" customFormat="false" ht="15" hidden="false" customHeight="false" outlineLevel="0" collapsed="false">
      <c r="A9" s="10" t="s">
        <v>131</v>
      </c>
    </row>
    <row r="10" customFormat="false" ht="15" hidden="false" customHeight="false" outlineLevel="0" collapsed="false">
      <c r="A10" s="10" t="s">
        <v>132</v>
      </c>
    </row>
    <row r="11" customFormat="false" ht="15" hidden="false" customHeight="false" outlineLevel="0" collapsed="false">
      <c r="A11" s="10" t="s">
        <v>133</v>
      </c>
    </row>
    <row r="12" customFormat="false" ht="15" hidden="false" customHeight="false" outlineLevel="0" collapsed="false">
      <c r="A12" s="10" t="s">
        <v>134</v>
      </c>
    </row>
    <row r="13" customFormat="false" ht="15" hidden="false" customHeight="false" outlineLevel="0" collapsed="false">
      <c r="A13" s="10" t="s">
        <v>135</v>
      </c>
    </row>
    <row r="14" customFormat="false" ht="15" hidden="false" customHeight="false" outlineLevel="0" collapsed="false">
      <c r="A14" s="8"/>
    </row>
    <row r="15" customFormat="false" ht="15" hidden="false" customHeight="false" outlineLevel="0" collapsed="false">
      <c r="A15" s="9" t="s">
        <v>136</v>
      </c>
    </row>
    <row r="16" customFormat="false" ht="15" hidden="false" customHeight="false" outlineLevel="0" collapsed="false">
      <c r="A16" s="10" t="s">
        <v>137</v>
      </c>
    </row>
    <row r="17" customFormat="false" ht="15" hidden="false" customHeight="false" outlineLevel="0" collapsed="false">
      <c r="A17" s="10" t="s">
        <v>138</v>
      </c>
    </row>
    <row r="18" customFormat="false" ht="15" hidden="false" customHeight="false" outlineLevel="0" collapsed="false">
      <c r="A18" s="10" t="s">
        <v>139</v>
      </c>
    </row>
    <row r="19" customFormat="false" ht="15" hidden="false" customHeight="false" outlineLevel="0" collapsed="false">
      <c r="A19" s="10" t="s">
        <v>140</v>
      </c>
    </row>
    <row r="20" customFormat="false" ht="15" hidden="false" customHeight="false" outlineLevel="0" collapsed="false">
      <c r="A20" s="8"/>
    </row>
    <row r="21" customFormat="false" ht="15" hidden="false" customHeight="false" outlineLevel="0" collapsed="false">
      <c r="A21" s="9" t="s">
        <v>141</v>
      </c>
    </row>
    <row r="22" customFormat="false" ht="15" hidden="false" customHeight="false" outlineLevel="0" collapsed="false">
      <c r="A22" s="10" t="s">
        <v>142</v>
      </c>
    </row>
    <row r="23" customFormat="false" ht="15" hidden="false" customHeight="false" outlineLevel="0" collapsed="false">
      <c r="A23" s="10" t="s">
        <v>143</v>
      </c>
    </row>
    <row r="24" customFormat="false" ht="15" hidden="false" customHeight="false" outlineLevel="0" collapsed="false">
      <c r="A24" s="10" t="s">
        <v>144</v>
      </c>
    </row>
    <row r="25" customFormat="false" ht="15" hidden="false" customHeight="false" outlineLevel="0" collapsed="false">
      <c r="A25" s="8"/>
    </row>
    <row r="26" customFormat="false" ht="15" hidden="false" customHeight="false" outlineLevel="0" collapsed="false">
      <c r="A26" s="9" t="s">
        <v>145</v>
      </c>
    </row>
    <row r="27" customFormat="false" ht="15" hidden="false" customHeight="false" outlineLevel="0" collapsed="false">
      <c r="A27" s="10" t="s">
        <v>146</v>
      </c>
    </row>
    <row r="28" customFormat="false" ht="15" hidden="false" customHeight="false" outlineLevel="0" collapsed="false">
      <c r="A28" s="10" t="s">
        <v>147</v>
      </c>
    </row>
    <row r="29" customFormat="false" ht="15" hidden="false" customHeight="false" outlineLevel="0" collapsed="false">
      <c r="A29" s="10" t="s">
        <v>148</v>
      </c>
    </row>
    <row r="30" customFormat="false" ht="15" hidden="false" customHeight="false" outlineLevel="0" collapsed="false">
      <c r="A30" s="8"/>
    </row>
    <row r="31" customFormat="false" ht="15" hidden="false" customHeight="false" outlineLevel="0" collapsed="false">
      <c r="A31" s="9" t="s">
        <v>149</v>
      </c>
    </row>
    <row r="32" customFormat="false" ht="15" hidden="false" customHeight="false" outlineLevel="0" collapsed="false">
      <c r="A32" s="10" t="s">
        <v>150</v>
      </c>
    </row>
    <row r="33" customFormat="false" ht="15" hidden="false" customHeight="false" outlineLevel="0" collapsed="false">
      <c r="A33" s="10" t="s">
        <v>151</v>
      </c>
    </row>
    <row r="34" customFormat="false" ht="15" hidden="false" customHeight="false" outlineLevel="0" collapsed="false">
      <c r="A34" s="10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5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9" t="s">
        <v>153</v>
      </c>
    </row>
    <row r="2" customFormat="false" ht="15" hidden="false" customHeight="false" outlineLevel="0" collapsed="false">
      <c r="A2" s="11" t="s">
        <v>8</v>
      </c>
      <c r="B2" s="11" t="s">
        <v>154</v>
      </c>
      <c r="C2" s="11" t="s">
        <v>155</v>
      </c>
    </row>
    <row r="3" customFormat="false" ht="15" hidden="false" customHeight="false" outlineLevel="0" collapsed="false">
      <c r="A3" s="0" t="n">
        <v>1</v>
      </c>
      <c r="B3" s="0" t="s">
        <v>156</v>
      </c>
      <c r="C3" s="0" t="s">
        <v>157</v>
      </c>
    </row>
    <row r="4" customFormat="false" ht="15" hidden="false" customHeight="false" outlineLevel="0" collapsed="false">
      <c r="A4" s="0" t="n">
        <v>2</v>
      </c>
      <c r="B4" s="0" t="s">
        <v>158</v>
      </c>
      <c r="C4" s="0" t="s">
        <v>159</v>
      </c>
    </row>
    <row r="5" customFormat="false" ht="15" hidden="false" customHeight="false" outlineLevel="0" collapsed="false">
      <c r="A5" s="0" t="n">
        <v>3</v>
      </c>
      <c r="B5" s="0" t="s">
        <v>160</v>
      </c>
      <c r="C5" s="0" t="s">
        <v>161</v>
      </c>
    </row>
    <row r="6" customFormat="false" ht="15" hidden="false" customHeight="false" outlineLevel="0" collapsed="false">
      <c r="A6" s="0" t="n">
        <v>4</v>
      </c>
      <c r="B6" s="0" t="s">
        <v>162</v>
      </c>
      <c r="C6" s="0" t="s">
        <v>163</v>
      </c>
    </row>
    <row r="7" customFormat="false" ht="15" hidden="false" customHeight="false" outlineLevel="0" collapsed="false">
      <c r="A7" s="0" t="n">
        <v>5</v>
      </c>
      <c r="B7" s="0" t="s">
        <v>164</v>
      </c>
      <c r="C7" s="0" t="s">
        <v>165</v>
      </c>
    </row>
    <row r="9" customFormat="false" ht="15" hidden="false" customHeight="false" outlineLevel="0" collapsed="false">
      <c r="A9" s="9" t="s">
        <v>166</v>
      </c>
    </row>
    <row r="10" customFormat="false" ht="15" hidden="false" customHeight="false" outlineLevel="0" collapsed="false">
      <c r="A10" s="11" t="s">
        <v>8</v>
      </c>
      <c r="B10" s="11" t="s">
        <v>154</v>
      </c>
      <c r="C10" s="11" t="s">
        <v>155</v>
      </c>
    </row>
    <row r="11" customFormat="false" ht="15" hidden="false" customHeight="false" outlineLevel="0" collapsed="false">
      <c r="A11" s="0" t="n">
        <v>1</v>
      </c>
      <c r="B11" s="0" t="s">
        <v>167</v>
      </c>
      <c r="C11" s="0" t="s">
        <v>168</v>
      </c>
    </row>
    <row r="12" customFormat="false" ht="15" hidden="false" customHeight="false" outlineLevel="0" collapsed="false">
      <c r="A12" s="0" t="n">
        <v>2</v>
      </c>
      <c r="B12" s="0" t="s">
        <v>169</v>
      </c>
      <c r="C12" s="0" t="s">
        <v>170</v>
      </c>
    </row>
    <row r="13" customFormat="false" ht="15" hidden="false" customHeight="false" outlineLevel="0" collapsed="false">
      <c r="A13" s="0" t="n">
        <v>3</v>
      </c>
      <c r="B13" s="0" t="s">
        <v>171</v>
      </c>
      <c r="C13" s="0" t="s">
        <v>172</v>
      </c>
    </row>
    <row r="14" customFormat="false" ht="15" hidden="false" customHeight="false" outlineLevel="0" collapsed="false">
      <c r="A14" s="0" t="n">
        <v>4</v>
      </c>
      <c r="B14" s="0" t="s">
        <v>173</v>
      </c>
      <c r="C14" s="0" t="s">
        <v>174</v>
      </c>
    </row>
    <row r="15" customFormat="false" ht="15" hidden="false" customHeight="false" outlineLevel="0" collapsed="false">
      <c r="A15" s="0" t="n">
        <v>5</v>
      </c>
      <c r="B15" s="0" t="s">
        <v>175</v>
      </c>
      <c r="C15" s="0" t="s">
        <v>176</v>
      </c>
    </row>
    <row r="17" customFormat="false" ht="15" hidden="false" customHeight="false" outlineLevel="0" collapsed="false">
      <c r="A17" s="9" t="s">
        <v>177</v>
      </c>
    </row>
    <row r="18" customFormat="false" ht="15" hidden="false" customHeight="false" outlineLevel="0" collapsed="false">
      <c r="A18" s="11" t="s">
        <v>178</v>
      </c>
      <c r="B18" s="11" t="s">
        <v>9</v>
      </c>
      <c r="C18" s="11" t="s">
        <v>179</v>
      </c>
    </row>
    <row r="19" customFormat="false" ht="15" hidden="false" customHeight="false" outlineLevel="0" collapsed="false">
      <c r="A19" s="12" t="s">
        <v>180</v>
      </c>
      <c r="B19" s="12" t="s">
        <v>181</v>
      </c>
      <c r="C19" s="12" t="s">
        <v>182</v>
      </c>
    </row>
    <row r="20" customFormat="false" ht="15" hidden="false" customHeight="false" outlineLevel="0" collapsed="false">
      <c r="A20" s="13" t="s">
        <v>183</v>
      </c>
      <c r="B20" s="13" t="s">
        <v>184</v>
      </c>
      <c r="C20" s="13" t="s">
        <v>185</v>
      </c>
    </row>
    <row r="21" customFormat="false" ht="15" hidden="false" customHeight="false" outlineLevel="0" collapsed="false">
      <c r="A21" s="14" t="s">
        <v>186</v>
      </c>
      <c r="B21" s="14" t="s">
        <v>187</v>
      </c>
      <c r="C21" s="14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6" min="5" style="0" width="40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5" t="s">
        <v>189</v>
      </c>
      <c r="B1" s="15" t="s">
        <v>190</v>
      </c>
      <c r="C1" s="15" t="s">
        <v>191</v>
      </c>
      <c r="D1" s="15" t="s">
        <v>192</v>
      </c>
      <c r="E1" s="15" t="s">
        <v>193</v>
      </c>
      <c r="F1" s="15" t="s">
        <v>194</v>
      </c>
      <c r="G1" s="15" t="s">
        <v>195</v>
      </c>
      <c r="H1" s="15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50"/>
  </cols>
  <sheetData>
    <row r="1" customFormat="false" ht="15" hidden="false" customHeight="false" outlineLevel="0" collapsed="false">
      <c r="A1" s="15" t="s">
        <v>190</v>
      </c>
      <c r="B1" s="15" t="s">
        <v>2</v>
      </c>
      <c r="C1" s="15" t="s">
        <v>3</v>
      </c>
      <c r="D1" s="15" t="s">
        <v>9</v>
      </c>
      <c r="E1" s="15" t="s">
        <v>14</v>
      </c>
      <c r="F1" s="15" t="s">
        <v>197</v>
      </c>
      <c r="G1" s="15" t="s">
        <v>198</v>
      </c>
    </row>
    <row r="2" customFormat="false" ht="15" hidden="false" customHeight="false" outlineLevel="0" collapsed="false">
      <c r="A2" s="16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2026-01-21T22:08:05Z</dcterms:created>
  <dc:creator>openpyxl</dc:creator>
  <dc:description/>
  <dc:language>en-US</dc:language>
  <cp:lastModifiedBy/>
  <dcterms:modified xsi:type="dcterms:W3CDTF">2026-01-21T22:08:05Z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